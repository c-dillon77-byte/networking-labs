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3" documentId="11_A24464FD30A318B36C1D006E880DFD980C5B1167" xr6:coauthVersionLast="47" xr6:coauthVersionMax="47" xr10:uidLastSave="{54D5A150-A023-4377-8A55-D31DDD6496D9}"/>
  <bookViews>
    <workbookView xWindow="0" yWindow="0" windowWidth="16384" windowHeight="8192" tabRatio="500" xr2:uid="{00000000-000D-0000-FFFF-FFFF00000000}"/>
  </bookViews>
  <sheets>
    <sheet name="Subnet Calculator" sheetId="1" r:id="rId1"/>
    <sheet name="Python Script" sheetId="2" r:id="rId2"/>
    <sheet name="Instruction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" i="1" l="1"/>
  <c r="K5" i="1"/>
  <c r="J5" i="1"/>
  <c r="I5" i="1"/>
  <c r="H5" i="1"/>
  <c r="B23" i="1" l="1"/>
  <c r="L5" i="1"/>
  <c r="L7" i="1" s="1"/>
  <c r="B20" i="1"/>
  <c r="B19" i="1"/>
  <c r="B15" i="1"/>
  <c r="B14" i="1"/>
  <c r="L10" i="1"/>
  <c r="B12" i="1" s="1"/>
  <c r="K6" i="1"/>
  <c r="K8" i="1" s="1"/>
  <c r="J6" i="1"/>
  <c r="J8" i="1" s="1"/>
  <c r="I6" i="1"/>
  <c r="I8" i="1" s="1"/>
  <c r="H6" i="1"/>
  <c r="B24" i="1" l="1"/>
  <c r="B16" i="1"/>
  <c r="H8" i="1"/>
  <c r="L6" i="1"/>
  <c r="B25" i="1"/>
  <c r="B10" i="1"/>
  <c r="B18" i="1" s="1"/>
  <c r="L9" i="1"/>
  <c r="B11" i="1" l="1"/>
  <c r="L11" i="1"/>
  <c r="B13" i="1" s="1"/>
  <c r="B17" i="1"/>
  <c r="L8" i="1"/>
</calcChain>
</file>

<file path=xl/sharedStrings.xml><?xml version="1.0" encoding="utf-8"?>
<sst xmlns="http://schemas.openxmlformats.org/spreadsheetml/2006/main" count="96" uniqueCount="94">
  <si>
    <t>IPv4 Subnet Calculator</t>
  </si>
  <si>
    <t>HELPERS (do not edit)</t>
  </si>
  <si>
    <t>Enter an IP address and CIDR prefix (or subnet mask). All results calculate automatically.</t>
  </si>
  <si>
    <t>INPUT</t>
  </si>
  <si>
    <t>QUICK CIDR REFERENCE</t>
  </si>
  <si>
    <t>IP Address</t>
  </si>
  <si>
    <t>10.10.1.13</t>
  </si>
  <si>
    <t>← Edit this (blue text = input)</t>
  </si>
  <si>
    <t>CIDR</t>
  </si>
  <si>
    <t>Subnet Mask</t>
  </si>
  <si>
    <t>Usable Hosts</t>
  </si>
  <si>
    <t>CIDR Prefix (0-32)</t>
  </si>
  <si>
    <t>← Or use Subnet Mask below</t>
  </si>
  <si>
    <t>/8</t>
  </si>
  <si>
    <t>255.0.0.0</t>
  </si>
  <si>
    <t>16,777,214</t>
  </si>
  <si>
    <t>Subnet Mask (optional)</t>
  </si>
  <si>
    <t>Leave blank to use CIDR only</t>
  </si>
  <si>
    <t>/16</t>
  </si>
  <si>
    <t>255.255.0.0</t>
  </si>
  <si>
    <t>65,534</t>
  </si>
  <si>
    <t>/24</t>
  </si>
  <si>
    <t>255.255.255.0</t>
  </si>
  <si>
    <t>254</t>
  </si>
  <si>
    <t>RESULTS</t>
  </si>
  <si>
    <t>/25</t>
  </si>
  <si>
    <t>255.255.255.128</t>
  </si>
  <si>
    <t>126</t>
  </si>
  <si>
    <t>Network Address</t>
  </si>
  <si>
    <t>/26</t>
  </si>
  <si>
    <t>255.255.255.192</t>
  </si>
  <si>
    <t>62</t>
  </si>
  <si>
    <t>Broadcast Address</t>
  </si>
  <si>
    <t>/27</t>
  </si>
  <si>
    <t>255.255.255.224</t>
  </si>
  <si>
    <t>30</t>
  </si>
  <si>
    <t>First Usable Host</t>
  </si>
  <si>
    <t>/28</t>
  </si>
  <si>
    <t>255.255.255.240</t>
  </si>
  <si>
    <t>14</t>
  </si>
  <si>
    <t>Last Usable Host</t>
  </si>
  <si>
    <t>/29</t>
  </si>
  <si>
    <t>255.255.255.248</t>
  </si>
  <si>
    <t>6</t>
  </si>
  <si>
    <t>/30</t>
  </si>
  <si>
    <t>255.255.255.252</t>
  </si>
  <si>
    <t>2</t>
  </si>
  <si>
    <t>Total Addresses</t>
  </si>
  <si>
    <t>/31</t>
  </si>
  <si>
    <t>255.255.255.254</t>
  </si>
  <si>
    <t>2 (p2p)</t>
  </si>
  <si>
    <t>/32</t>
  </si>
  <si>
    <t>255.255.255.255</t>
  </si>
  <si>
    <t>1</t>
  </si>
  <si>
    <t>Wildcard Mask</t>
  </si>
  <si>
    <t>CIDR Notation</t>
  </si>
  <si>
    <t>Host Bits</t>
  </si>
  <si>
    <t>Network Bits</t>
  </si>
  <si>
    <t>BINARY VIEW</t>
  </si>
  <si>
    <t>IP Address (binary)</t>
  </si>
  <si>
    <t>Subnet Mask (binary)</t>
  </si>
  <si>
    <t>Network (binary)</t>
  </si>
  <si>
    <t>Notes: • Blue text / yellow cells = editable inputs  • Green cells = calculated results  • /31 is used for point-to-point links (RFC 3021)  • /32 is a single host route  • Works in Excel, LibreOffice, and Google Sheets</t>
  </si>
  <si>
    <t>How to use: 1) Type any IPv4 address in B5  2) Enter CIDR prefix 0–32 in B6  3) Results update automatically.  Optionally clear B7 if you previously typed a mask.</t>
  </si>
  <si>
    <t>Companion Python Script (ipaddress module)</t>
  </si>
  <si>
    <t># Save this as subnet_calc.py and run with:  python subnet_calc.py
# Requires Python 3.3+ (ipaddress is in the standard library)
from ipaddress import ip_network, ip_interface, IPv4Network
import sys
def calculate_subnet(cidr: str):
    """Calculate and print full subnet details for an IPv4 CIDR."""
    try:
        # Accept "192.168.1.10/24" or "192.168.1.0/24"
        net = ip_network(cidr, strict=False)  # strict=False allows host bits set
    except ValueError as e:
        print(f"Invalid input: {e}")
        return
    print("=" * 50)
    print(f"Input CIDR          : {cidr}")
    print(f"Network Address     : {net.network_address}")
    print(f"Broadcast Address   : {net.broadcast_address}")
    print(f"Subnet Mask         : {net.netmask}")
    print(f"Wildcard Mask       : {net.hostmask}")
    print(f"CIDR Prefix         : /{net.prefixlen}")
    print(f"Total Addresses     : {net.num_addresses}")
    # Usable hosts (RFC 3021 aware)
    if net.prefixlen == 31:
        usable = 2
        first = net.network_address
        last = net.broadcast_address
    elif net.prefixlen == 32:
        usable = 1
        first = last = net.network_address
    else:
        usable = net.num_addresses - 2
        hosts = list(net.hosts())
        first = hosts[0] if hosts else None
        last = hosts[-1] if hosts else None
    print(f"Usable Hosts        : {usable}")
    print(f"First Usable Host   : {first}")
    print(f"Last Usable Host    : {last}")
    print(f"Is Private          : {net.is_private}")
    print("=" * 50)
    # Optional: list all addresses (careful with large subnets!)
    # for addr in net:
    #     print(addr)
if __name__ == "__main__":
    if len(sys.argv) &gt; 1:
        calculate_subnet(sys.argv[1])
    else:
        # Interactive mode
        user_input = input("Enter IP/CIDR (e.g. 192.168.1.10/24): ").strip()
        calculate_subnet(user_input)</t>
  </si>
  <si>
    <t>Usage examples:</t>
  </si>
  <si>
    <t xml:space="preserve">  python subnet_calc.py 10.0.0.5/22</t>
  </si>
  <si>
    <t xml:space="preserve">  python subnet_calc.py 172.16.0.1/16</t>
  </si>
  <si>
    <t>Or just run it and type the CIDR interactively.</t>
  </si>
  <si>
    <t>How to use this Subnet Calculator</t>
  </si>
  <si>
    <t>SHEET 1 – Subnet Calculator (Excel formulas)</t>
  </si>
  <si>
    <t>1. Go to the 'Subnet Calculator' sheet.</t>
  </si>
  <si>
    <t>2. In cell B5 type any IPv4 address (example: 192.168.1.10).</t>
  </si>
  <si>
    <t>3. In cell B6 type the CIDR prefix length (0–32). Example: 24 for a typical LAN.</t>
  </si>
  <si>
    <t>4. All results (network, broadcast, usable range, masks, binary view) update automatically.</t>
  </si>
  <si>
    <t>5. Yellow cells with blue text are the only ones you should edit.</t>
  </si>
  <si>
    <t>6. Green cells are calculated – do not type over them.</t>
  </si>
  <si>
    <t>Requirements: Excel 2013 or later / Microsoft 365 (BITAND and BITOR functions).</t>
  </si>
  <si>
    <t>Works in Google Sheets with minor adjustments (BITAND/BITOR are available).</t>
  </si>
  <si>
    <t>SHEET 2 – Python Script</t>
  </si>
  <si>
    <t>1. Copy the Python code from the 'Python Script' sheet into a file named subnet_calc.py.</t>
  </si>
  <si>
    <t>2. Run it from a terminal:  python subnet_calc.py 192.168.1.10/24</t>
  </si>
  <si>
    <t>3. Or run without arguments and enter the CIDR interactively.</t>
  </si>
  <si>
    <t>4. The script uses only the standard library (ipaddress) – no pip install needed.</t>
  </si>
  <si>
    <t>Why both?</t>
  </si>
  <si>
    <t>• The Excel sheet is great for quick interactive lookups and documentation.</t>
  </si>
  <si>
    <t>• The Python script is ideal for automation, bulk calculations, or integration into other tools.</t>
  </si>
  <si>
    <t>Common examples to try:</t>
  </si>
  <si>
    <t xml:space="preserve">  192.168.0.1/24     → classic home/office LAN (254 hosts)</t>
  </si>
  <si>
    <t xml:space="preserve">  10.0.0.0/8         → large private Class A</t>
  </si>
  <si>
    <t xml:space="preserve">  172.16.5.20/28     → small subnet (14 usable hosts)</t>
  </si>
  <si>
    <t xml:space="preserve">  203.0.113.0/30     → point-to-point (2 usable hosts)</t>
  </si>
  <si>
    <t xml:space="preserve">  198.51.100.1/32    → single host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</si>
</sst>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9"/>
      <color rgb="FF999999"/>
      <name val="Arial"/>
      <charset val="1"/>
    </font>
    <font>
      <i/>
      <sz val="9"/>
      <color rgb="FF666666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b/>
      <sz val="10"/>
      <name val="Arial"/>
      <charset val="1"/>
    </font>
    <font>
      <sz val="11"/>
      <color rgb="FF000000"/>
      <name val="Arial"/>
      <charset val="1"/>
    </font>
    <font>
      <sz val="10"/>
      <name val="Consolas"/>
      <charset val="1"/>
    </font>
    <font>
      <sz val="9"/>
      <name val="Consolas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D6DCE4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3" fillId="0" borderId="0" xfId="0" applyFont="1"/>
    <xf numFmtId="0" fontId="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/>
    <xf numFmtId="0" fontId="1" fillId="2" borderId="0" xfId="0" applyFont="1" applyFill="1"/>
    <xf numFmtId="0" fontId="10" fillId="0" borderId="0" xfId="0" applyFont="1" applyAlignment="1">
      <alignment vertical="top" wrapText="1"/>
    </xf>
    <xf numFmtId="0" fontId="5" fillId="0" borderId="0" xfId="0" applyFont="1"/>
    <xf numFmtId="0" fontId="9" fillId="0" borderId="0" xfId="0" applyFont="1"/>
    <xf numFmtId="0" fontId="11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>
      <pane ySplit="3" topLeftCell="A4" activePane="bottomLeft" state="frozen"/>
      <selection pane="bottomLeft" activeCell="B7" sqref="B7"/>
    </sheetView>
  </sheetViews>
  <sheetFormatPr defaultColWidth="8.7109375" defaultRowHeight="15"/>
  <cols>
    <col min="1" max="1" width="28" customWidth="1"/>
    <col min="2" max="2" width="22" customWidth="1"/>
    <col min="3" max="3" width="24.28515625" bestFit="1" customWidth="1"/>
    <col min="4" max="4" width="22" customWidth="1"/>
    <col min="5" max="5" width="18" customWidth="1"/>
    <col min="6" max="6" width="35" customWidth="1"/>
    <col min="8" max="13" width="13" hidden="1" customWidth="1"/>
  </cols>
  <sheetData>
    <row r="1" spans="1:13" ht="30" customHeight="1">
      <c r="A1" s="3" t="s">
        <v>0</v>
      </c>
      <c r="B1" s="3"/>
      <c r="C1" s="3"/>
      <c r="D1" s="3"/>
      <c r="E1" s="3"/>
      <c r="F1" s="3"/>
      <c r="H1" s="4" t="s">
        <v>1</v>
      </c>
    </row>
    <row r="2" spans="1:13" ht="15" customHeight="1">
      <c r="A2" s="2" t="s">
        <v>2</v>
      </c>
      <c r="B2" s="2"/>
      <c r="C2" s="2"/>
      <c r="D2" s="2"/>
      <c r="E2" s="2"/>
      <c r="F2" s="2"/>
    </row>
    <row r="4" spans="1:13" ht="15" customHeight="1">
      <c r="A4" s="1" t="s">
        <v>3</v>
      </c>
      <c r="B4" s="1"/>
      <c r="D4" s="1" t="s">
        <v>4</v>
      </c>
      <c r="E4" s="1"/>
      <c r="F4" s="1"/>
    </row>
    <row r="5" spans="1:13" ht="15" customHeight="1">
      <c r="A5" s="5" t="s">
        <v>5</v>
      </c>
      <c r="B5" s="6" t="s">
        <v>6</v>
      </c>
      <c r="C5" s="7" t="s">
        <v>7</v>
      </c>
      <c r="D5" s="8" t="s">
        <v>8</v>
      </c>
      <c r="E5" s="8" t="s">
        <v>9</v>
      </c>
      <c r="F5" s="8" t="s">
        <v>10</v>
      </c>
      <c r="H5">
        <f>IFERROR(VALUE(LEFT(B5,FIND(".",B5)-1)),0)</f>
        <v>10</v>
      </c>
      <c r="I5">
        <f>IFERROR(VALUE(MID(B5,FIND(".",B5)+1,FIND(".",B5,FIND(".",B5)+1)-FIND(".",B5)-1)),0)</f>
        <v>10</v>
      </c>
      <c r="J5">
        <f>IFERROR(VALUE(MID(B5,FIND(".",B5,FIND(".",B5)+1)+1,FIND(".",B5,FIND(".",B5,FIND(".",B5)+1)+1)-FIND(".",B5,FIND(".",B5)+1)-1)),0)</f>
        <v>1</v>
      </c>
      <c r="K5">
        <f>IFERROR(VALUE(RIGHT(B5,LEN(B5)-FIND(".",B5,FIND(".",B5,FIND(".",B5)+1)+1))),0)</f>
        <v>13</v>
      </c>
      <c r="L5">
        <f>H5*16777216+I5*65536+J5*256+K5</f>
        <v>168427789</v>
      </c>
      <c r="M5">
        <f>B6</f>
        <v>18</v>
      </c>
    </row>
    <row r="6" spans="1:13" ht="15" customHeight="1">
      <c r="A6" s="5" t="s">
        <v>11</v>
      </c>
      <c r="B6" s="6">
        <v>18</v>
      </c>
      <c r="C6" s="7" t="s">
        <v>12</v>
      </c>
      <c r="D6" s="9" t="s">
        <v>13</v>
      </c>
      <c r="E6" s="9" t="s">
        <v>14</v>
      </c>
      <c r="F6" s="9" t="s">
        <v>15</v>
      </c>
      <c r="H6">
        <f>IF(M5&gt;=8,255,IF(M5&lt;=0,0,256-2^(8-M5)))</f>
        <v>255</v>
      </c>
      <c r="I6">
        <f>IF(M5&gt;=16,255,IF(M5&lt;=8,0,256-2^(16-M5)))</f>
        <v>255</v>
      </c>
      <c r="J6">
        <f>IF(M5&gt;=24,255,IF(M5&lt;=16,0,256-2^(24-M5)))</f>
        <v>192</v>
      </c>
      <c r="K6">
        <f>IF(M5&gt;=32,255,IF(M5&lt;=24,0,256-2^(32-M5)))</f>
        <v>0</v>
      </c>
      <c r="L6">
        <f>H6*16777216+I6*65536+J6*256+K6</f>
        <v>4294950912</v>
      </c>
    </row>
    <row r="7" spans="1:13" ht="15" customHeight="1">
      <c r="A7" s="5" t="s">
        <v>16</v>
      </c>
      <c r="B7" s="6"/>
      <c r="C7" s="7" t="s">
        <v>17</v>
      </c>
      <c r="D7" s="10" t="s">
        <v>18</v>
      </c>
      <c r="E7" s="10" t="s">
        <v>19</v>
      </c>
      <c r="F7" s="10" t="s">
        <v>20</v>
      </c>
      <c r="L7">
        <f>INT(L5/(2^(32-M5)))*(2^(32-M5))</f>
        <v>168427520</v>
      </c>
    </row>
    <row r="8" spans="1:13" ht="15" customHeight="1">
      <c r="D8" s="9" t="s">
        <v>21</v>
      </c>
      <c r="E8" s="9" t="s">
        <v>22</v>
      </c>
      <c r="F8" s="9" t="s">
        <v>23</v>
      </c>
      <c r="H8">
        <f>255-H6</f>
        <v>0</v>
      </c>
      <c r="I8">
        <f>255-I6</f>
        <v>0</v>
      </c>
      <c r="J8">
        <f>255-J6</f>
        <v>63</v>
      </c>
      <c r="K8">
        <f>255-K6</f>
        <v>255</v>
      </c>
      <c r="L8">
        <f>H8*16777216+I8*65536+J8*256+K8</f>
        <v>16383</v>
      </c>
    </row>
    <row r="9" spans="1:13" ht="15" customHeight="1">
      <c r="A9" s="1" t="s">
        <v>24</v>
      </c>
      <c r="B9" s="1"/>
      <c r="D9" s="10" t="s">
        <v>25</v>
      </c>
      <c r="E9" s="10" t="s">
        <v>26</v>
      </c>
      <c r="F9" s="10" t="s">
        <v>27</v>
      </c>
      <c r="L9">
        <f>L7+(2^(32-M5))-1</f>
        <v>168443903</v>
      </c>
    </row>
    <row r="10" spans="1:13" ht="15" customHeight="1">
      <c r="A10" s="5" t="s">
        <v>28</v>
      </c>
      <c r="B10" s="11" t="str">
        <f>INT(L7/16777216)&amp;"."&amp;INT(MOD(L7,16777216)/65536)&amp;"."&amp;INT(MOD(L7,65536)/256)&amp;"."&amp;MOD(L7,256)</f>
        <v>10.10.0.0</v>
      </c>
      <c r="D10" s="9" t="s">
        <v>29</v>
      </c>
      <c r="E10" s="9" t="s">
        <v>30</v>
      </c>
      <c r="F10" s="9" t="s">
        <v>31</v>
      </c>
      <c r="L10">
        <f>IF(M5=32,L5,IF(M5=31,L7,L7+1))</f>
        <v>168427521</v>
      </c>
    </row>
    <row r="11" spans="1:13" ht="15" customHeight="1">
      <c r="A11" s="5" t="s">
        <v>32</v>
      </c>
      <c r="B11" s="11" t="str">
        <f>INT(L9/16777216)&amp;"."&amp;INT(MOD(L9,16777216)/65536)&amp;"."&amp;INT(MOD(L9,65536)/256)&amp;"."&amp;MOD(L9,256)</f>
        <v>10.10.63.255</v>
      </c>
      <c r="D11" s="10" t="s">
        <v>33</v>
      </c>
      <c r="E11" s="10" t="s">
        <v>34</v>
      </c>
      <c r="F11" s="10" t="s">
        <v>35</v>
      </c>
      <c r="L11">
        <f>IF(M5=32,L5,IF(M5=31,L9,L9-1))</f>
        <v>168443902</v>
      </c>
    </row>
    <row r="12" spans="1:13" ht="15" customHeight="1">
      <c r="A12" s="5" t="s">
        <v>36</v>
      </c>
      <c r="B12" s="11" t="str">
        <f>INT(L10/16777216)&amp;"."&amp;INT(MOD(L10,16777216)/65536)&amp;"."&amp;INT(MOD(L10,65536)/256)&amp;"."&amp;MOD(L10,256)</f>
        <v>10.10.0.1</v>
      </c>
      <c r="D12" s="9" t="s">
        <v>37</v>
      </c>
      <c r="E12" s="9" t="s">
        <v>38</v>
      </c>
      <c r="F12" s="9" t="s">
        <v>39</v>
      </c>
    </row>
    <row r="13" spans="1:13" ht="15" customHeight="1">
      <c r="A13" s="5" t="s">
        <v>40</v>
      </c>
      <c r="B13" s="11" t="str">
        <f>INT(L11/16777216)&amp;"."&amp;INT(MOD(L11,16777216)/65536)&amp;"."&amp;INT(MOD(L11,65536)/256)&amp;"."&amp;MOD(L11,256)</f>
        <v>10.10.63.254</v>
      </c>
      <c r="D13" s="10" t="s">
        <v>41</v>
      </c>
      <c r="E13" s="10" t="s">
        <v>42</v>
      </c>
      <c r="F13" s="10" t="s">
        <v>43</v>
      </c>
    </row>
    <row r="14" spans="1:13" ht="15" customHeight="1">
      <c r="A14" s="5" t="s">
        <v>10</v>
      </c>
      <c r="B14" s="12">
        <f>IF(M5=31,2,IF(M5=32,1,2^(32-M5)-2))</f>
        <v>16382</v>
      </c>
      <c r="D14" s="9" t="s">
        <v>44</v>
      </c>
      <c r="E14" s="9" t="s">
        <v>45</v>
      </c>
      <c r="F14" s="9" t="s">
        <v>46</v>
      </c>
    </row>
    <row r="15" spans="1:13" ht="15" customHeight="1">
      <c r="A15" s="5" t="s">
        <v>47</v>
      </c>
      <c r="B15" s="12">
        <f>2^(32-M5)</f>
        <v>16384</v>
      </c>
      <c r="D15" s="10" t="s">
        <v>48</v>
      </c>
      <c r="E15" s="10" t="s">
        <v>49</v>
      </c>
      <c r="F15" s="10" t="s">
        <v>50</v>
      </c>
    </row>
    <row r="16" spans="1:13" ht="15" customHeight="1">
      <c r="A16" s="5" t="s">
        <v>9</v>
      </c>
      <c r="B16" s="11" t="str">
        <f>H6&amp;"."&amp;I6&amp;"."&amp;J6&amp;"."&amp;K6</f>
        <v>255.255.192.0</v>
      </c>
      <c r="D16" s="9" t="s">
        <v>51</v>
      </c>
      <c r="E16" s="9" t="s">
        <v>52</v>
      </c>
      <c r="F16" s="9" t="s">
        <v>53</v>
      </c>
    </row>
    <row r="17" spans="1:6" ht="15" customHeight="1">
      <c r="A17" s="5" t="s">
        <v>54</v>
      </c>
      <c r="B17" s="11" t="str">
        <f>H8&amp;"."&amp;I8&amp;"."&amp;J8&amp;"."&amp;K8</f>
        <v>0.0.63.255</v>
      </c>
    </row>
    <row r="18" spans="1:6" ht="15" customHeight="1">
      <c r="A18" s="5" t="s">
        <v>55</v>
      </c>
      <c r="B18" s="11" t="str">
        <f>B10&amp;"/"&amp;M5</f>
        <v>10.10.0.0/18</v>
      </c>
    </row>
    <row r="19" spans="1:6" ht="15" customHeight="1">
      <c r="A19" s="5" t="s">
        <v>56</v>
      </c>
      <c r="B19" s="11">
        <f>32-M5</f>
        <v>14</v>
      </c>
    </row>
    <row r="20" spans="1:6" ht="15" customHeight="1">
      <c r="A20" s="5" t="s">
        <v>57</v>
      </c>
      <c r="B20" s="11">
        <f>M5</f>
        <v>18</v>
      </c>
    </row>
    <row r="22" spans="1:6" ht="15" customHeight="1">
      <c r="A22" s="1" t="s">
        <v>58</v>
      </c>
      <c r="B22" s="1"/>
    </row>
    <row r="23" spans="1:6" ht="15" customHeight="1">
      <c r="A23" s="5" t="s">
        <v>59</v>
      </c>
      <c r="B23" s="13" t="str">
        <f>TEXT(H5,"00000000")&amp;"."&amp;TEXT(I5,"00000000")&amp;"."&amp;TEXT(J5,"00000000")&amp;"."&amp;TEXT(K5,"00000000")</f>
        <v>00000010.00000010.00000001.00000013</v>
      </c>
    </row>
    <row r="24" spans="1:6" ht="15" customHeight="1">
      <c r="A24" s="5" t="s">
        <v>60</v>
      </c>
      <c r="B24" s="13" t="str">
        <f>TEXT(H6,"00000000")&amp;"."&amp;TEXT(I6,"00000000")&amp;"."&amp;TEXT(J6,"00000000")&amp;"."&amp;TEXT(K6,"00000000")</f>
        <v>00000255.00000255.00000192.00000000</v>
      </c>
    </row>
    <row r="25" spans="1:6" ht="15" customHeight="1">
      <c r="A25" s="5" t="s">
        <v>61</v>
      </c>
      <c r="B25" s="13" t="str">
        <f>TEXT(INT(L7/16777216),"00000000")&amp;"."&amp;TEXT(INT(MOD(L7,16777216)/65536),"00000000")&amp;"."&amp;TEXT(INT(MOD(L7,65536)/256),"00000000")&amp;"."&amp;TEXT(MOD(L7,256),"00000000")</f>
        <v>00000010.00000010.00000000.00000000</v>
      </c>
    </row>
    <row r="27" spans="1:6" ht="15" customHeight="1">
      <c r="A27" s="19" t="s">
        <v>62</v>
      </c>
      <c r="B27" s="19"/>
      <c r="C27" s="19"/>
      <c r="D27" s="19"/>
      <c r="E27" s="19"/>
      <c r="F27" s="19"/>
    </row>
    <row r="28" spans="1:6" ht="15" customHeight="1">
      <c r="A28" s="19" t="s">
        <v>63</v>
      </c>
      <c r="B28" s="19"/>
      <c r="C28" s="19"/>
      <c r="D28" s="19"/>
      <c r="E28" s="19"/>
      <c r="F28" s="19"/>
    </row>
  </sheetData>
  <mergeCells count="8">
    <mergeCell ref="A22:B22"/>
    <mergeCell ref="A27:F27"/>
    <mergeCell ref="A28:F28"/>
    <mergeCell ref="A1:F1"/>
    <mergeCell ref="A2:F2"/>
    <mergeCell ref="A4:B4"/>
    <mergeCell ref="D4:F4"/>
    <mergeCell ref="A9:B9"/>
  </mergeCells>
  <dataValidations count="1">
    <dataValidation type="whole" errorTitle="Invalid CIDR" error="CIDR must be an integer between 0 and 32" sqref="B6" xr:uid="{00000000-0002-0000-0000-000000000000}">
      <formula1>0</formula1>
      <formula2>32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Normal="100" workbookViewId="0"/>
  </sheetViews>
  <sheetFormatPr defaultColWidth="8.7109375" defaultRowHeight="15"/>
  <cols>
    <col min="1" max="1" width="100" customWidth="1"/>
  </cols>
  <sheetData>
    <row r="1" spans="1:1" ht="19.5" customHeight="1">
      <c r="A1" s="14" t="s">
        <v>64</v>
      </c>
    </row>
    <row r="3" spans="1:1" ht="409.6" customHeight="1">
      <c r="A3" s="15" t="s">
        <v>65</v>
      </c>
    </row>
    <row r="5" spans="1:1" ht="15" customHeight="1">
      <c r="A5" s="16" t="s">
        <v>66</v>
      </c>
    </row>
    <row r="6" spans="1:1" ht="15" customHeight="1">
      <c r="A6" s="17" t="s">
        <v>67</v>
      </c>
    </row>
    <row r="7" spans="1:1" ht="15" customHeight="1">
      <c r="A7" s="17" t="s">
        <v>68</v>
      </c>
    </row>
    <row r="8" spans="1:1" ht="15" customHeight="1">
      <c r="A8" s="7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zoomScaleNormal="100" workbookViewId="0"/>
  </sheetViews>
  <sheetFormatPr defaultColWidth="8.7109375" defaultRowHeight="15"/>
  <cols>
    <col min="1" max="1" width="90" customWidth="1"/>
  </cols>
  <sheetData>
    <row r="1" spans="1:1" ht="19.5" customHeight="1">
      <c r="A1" s="14" t="s">
        <v>70</v>
      </c>
    </row>
    <row r="2" spans="1:1" ht="15" customHeight="1">
      <c r="A2" s="18"/>
    </row>
    <row r="3" spans="1:1" ht="15" customHeight="1">
      <c r="A3" s="16" t="s">
        <v>71</v>
      </c>
    </row>
    <row r="4" spans="1:1" ht="15" customHeight="1">
      <c r="A4" s="18" t="s">
        <v>72</v>
      </c>
    </row>
    <row r="5" spans="1:1" ht="15" customHeight="1">
      <c r="A5" s="18" t="s">
        <v>73</v>
      </c>
    </row>
    <row r="6" spans="1:1" ht="15" customHeight="1">
      <c r="A6" s="18" t="s">
        <v>74</v>
      </c>
    </row>
    <row r="7" spans="1:1" ht="15" customHeight="1">
      <c r="A7" s="18" t="s">
        <v>75</v>
      </c>
    </row>
    <row r="8" spans="1:1" ht="15" customHeight="1">
      <c r="A8" s="18" t="s">
        <v>76</v>
      </c>
    </row>
    <row r="9" spans="1:1" ht="15" customHeight="1">
      <c r="A9" s="18" t="s">
        <v>77</v>
      </c>
    </row>
    <row r="10" spans="1:1" ht="15" customHeight="1">
      <c r="A10" s="18"/>
    </row>
    <row r="11" spans="1:1" ht="15" customHeight="1">
      <c r="A11" s="18" t="s">
        <v>78</v>
      </c>
    </row>
    <row r="12" spans="1:1" ht="15" customHeight="1">
      <c r="A12" s="18" t="s">
        <v>79</v>
      </c>
    </row>
    <row r="13" spans="1:1" ht="15" customHeight="1">
      <c r="A13" s="18"/>
    </row>
    <row r="14" spans="1:1" ht="15" customHeight="1">
      <c r="A14" s="16" t="s">
        <v>80</v>
      </c>
    </row>
    <row r="15" spans="1:1" ht="15" customHeight="1">
      <c r="A15" s="18" t="s">
        <v>81</v>
      </c>
    </row>
    <row r="16" spans="1:1" ht="15" customHeight="1">
      <c r="A16" s="18" t="s">
        <v>82</v>
      </c>
    </row>
    <row r="17" spans="1:1" ht="15" customHeight="1">
      <c r="A17" s="18" t="s">
        <v>83</v>
      </c>
    </row>
    <row r="18" spans="1:1" ht="15" customHeight="1">
      <c r="A18" s="18" t="s">
        <v>84</v>
      </c>
    </row>
    <row r="19" spans="1:1" ht="15" customHeight="1">
      <c r="A19" s="18"/>
    </row>
    <row r="20" spans="1:1" ht="15" customHeight="1">
      <c r="A20" s="16" t="s">
        <v>85</v>
      </c>
    </row>
    <row r="21" spans="1:1" ht="15" customHeight="1">
      <c r="A21" s="18" t="s">
        <v>86</v>
      </c>
    </row>
    <row r="22" spans="1:1" ht="15" customHeight="1">
      <c r="A22" s="18" t="s">
        <v>87</v>
      </c>
    </row>
    <row r="23" spans="1:1" ht="15" customHeight="1">
      <c r="A23" s="18"/>
    </row>
    <row r="24" spans="1:1" ht="15" customHeight="1">
      <c r="A24" s="16" t="s">
        <v>88</v>
      </c>
    </row>
    <row r="25" spans="1:1" ht="15" customHeight="1">
      <c r="A25" s="18" t="s">
        <v>89</v>
      </c>
    </row>
    <row r="26" spans="1:1" ht="15" customHeight="1">
      <c r="A26" s="18" t="s">
        <v>90</v>
      </c>
    </row>
    <row r="27" spans="1:1" ht="15" customHeight="1">
      <c r="A27" s="18" t="s">
        <v>91</v>
      </c>
    </row>
    <row r="28" spans="1:1" ht="15" customHeight="1">
      <c r="A28" s="18" t="s">
        <v>92</v>
      </c>
    </row>
    <row r="29" spans="1:1" ht="15" customHeight="1">
      <c r="A29" s="18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Charles Dillon (Raleigh)</cp:lastModifiedBy>
  <cp:revision>0</cp:revision>
  <dcterms:created xsi:type="dcterms:W3CDTF">2026-10-09T14:23:35Z</dcterms:created>
  <dcterms:modified xsi:type="dcterms:W3CDTF">2026-10-12T15:39:44Z</dcterms:modified>
  <cp:category/>
  <cp:contentStatus/>
</cp:coreProperties>
</file>